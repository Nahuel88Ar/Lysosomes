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<sst xmlns="http://schemas.openxmlformats.org/spreadsheetml/2006/main" count="470" uniqueCount="149">
  <si>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</si>
  <si>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</si>
  <si>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</si>
  <si>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</si>
  <si>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</si>
  <si>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</si>
  <si>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</si>
  <si>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</si>
  <si>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</si>
  <si>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</si>
  <si>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</si>
  <si>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</si>
  <si>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</si>
  <si>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</si>
  <si>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</si>
  <si>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</si>
  <si>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</si>
  <si>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</si>
  <si>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</si>
  <si>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</si>
  <si>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</si>
  <si>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</si>
  <si>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</si>
  <si>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</si>
  <si>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</si>
  <si>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</si>
  <si>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</si>
  <si>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</si>
  <si>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</si>
  <si>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</si>
  <si>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</si>
  <si>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</si>
  <si>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</si>
  <si>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</si>
  <si>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</si>
  <si>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</si>
  <si>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</si>
  <si>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</si>
  <si>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</si>
  <si>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</si>
  <si>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</si>
  <si>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</si>
  <si>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</si>
  <si>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</si>
  <si>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</si>
  <si>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</si>
  <si>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</si>
  <si>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</si>
  <si>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</si>
  <si>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</si>
  <si>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</si>
  <si>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</si>
  <si>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</si>
  <si>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</si>
  <si>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</si>
  <si>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</si>
  <si>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</si>
  <si>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</si>
  <si>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</si>
  <si>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</si>
  <si>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</si>
  <si>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</si>
  <si>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</si>
  <si>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</si>
  <si>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</si>
  <si>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</si>
  <si>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</si>
  <si>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</si>
  <si>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</si>
  <si>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</si>
  <si>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</si>
  <si>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</si>
  <si>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</si>
  <si>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</si>
  <si>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</si>
  <si>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</si>
  <si>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</si>
  <si>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</si>
  <si>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</si>
  <si>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</si>
  <si>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</si>
  <si>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</si>
  <si>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</si>
  <si>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</si>
  <si>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</si>
  <si>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</si>
  <si>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</si>
  <si>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</si>
  <si>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</si>
  <si>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</si>
  <si>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</si>
  <si>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</si>
  <si>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</si>
  <si>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</si>
  <si>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</si>
  <si>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</si>
  <si>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</si>
  <si>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</si>
  <si>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</si>
  <si>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</si>
  <si>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</si>
  <si>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</si>
  <si>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</si>
  <si>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</si>
  <si>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</si>
  <si>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</si>
  <si>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</si>
  <si>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</si>
  <si>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</si>
  <si>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</si>
  <si>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</si>
  <si>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</si>
  <si>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</si>
  <si>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</si>
  <si>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</si>
  <si>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</si>
  <si>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</si>
  <si>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</si>
  <si>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</si>
  <si>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</si>
  <si>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</si>
  <si>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</si>
  <si>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</si>
  <si>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</si>
  <si>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</si>
  <si>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</si>
  <si>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</si>
  <si>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</si>
  <si>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</si>
  <si>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</si>
  <si>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</si>
  <si>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</si>
  <si>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</si>
  <si>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</si>
  <si>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</si>
  <si>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</si>
  <si>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</si>
  <si>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</si>
  <si>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</si>
  <si>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2-4</t>
  </si>
  <si>
    <t xml:space="preserve">2-3</t>
  </si>
  <si>
    <t xml:space="preserve">AUT 2</t>
  </si>
  <si>
    <t xml:space="preserve">0H-3</t>
  </si>
  <si>
    <t xml:space="preserve">6H-1</t>
  </si>
  <si>
    <t xml:space="preserve">more</t>
  </si>
  <si>
    <t xml:space="preserve">3H-1</t>
  </si>
  <si>
    <t xml:space="preserve">3H-2</t>
  </si>
  <si>
    <t xml:space="preserve">LESS</t>
  </si>
  <si>
    <t xml:space="preserve">MORE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</si>
</sst>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2B2B2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B2B2B2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B2B2B2"/>
        <bgColor rgb="FFB4C7D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5B9BD5"/>
      <rgbColor rgb="FF729FC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2B2B2"/>
      <rgbColor rgb="FFFFCC99"/>
      <rgbColor rgb="FF3366FF"/>
      <rgbColor rgb="FF33CCCC"/>
      <rgbColor rgb="FF92D050"/>
      <rgbColor rgb="FFFFCC00"/>
      <rgbColor rgb="FFFF860D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471600</xdr:colOff>
      <xdr:row>2</xdr:row>
      <xdr:rowOff>28800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2360" cy="2642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19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L55" activeCellId="0" sqref="L55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2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4" t="n">
        <v>0.5</v>
      </c>
      <c r="N2" s="20" t="n">
        <v>0.5</v>
      </c>
      <c r="O2" s="20" t="n">
        <v>0.5</v>
      </c>
      <c r="P2" s="20" t="n">
        <v>0.5</v>
      </c>
      <c r="Q2" s="24" t="n">
        <v>0.5</v>
      </c>
      <c r="R2" s="24" t="n">
        <v>0.5</v>
      </c>
      <c r="T2" s="24" t="n">
        <v>0.5</v>
      </c>
      <c r="U2" s="24" t="n">
        <v>0.5</v>
      </c>
      <c r="V2" s="24" t="n">
        <v>0.5</v>
      </c>
      <c r="W2" s="24" t="n">
        <v>0.5</v>
      </c>
      <c r="X2" s="24" t="n">
        <v>0.5</v>
      </c>
      <c r="Y2" s="24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4" t="n">
        <v>1</v>
      </c>
      <c r="N3" s="20" t="n">
        <v>1</v>
      </c>
      <c r="O3" s="20" t="n">
        <v>1</v>
      </c>
      <c r="P3" s="20" t="n">
        <v>1</v>
      </c>
      <c r="Q3" s="24" t="n">
        <v>1</v>
      </c>
      <c r="R3" s="24" t="n">
        <v>1</v>
      </c>
      <c r="T3" s="24" t="n">
        <v>1</v>
      </c>
      <c r="U3" s="24" t="n">
        <v>1</v>
      </c>
      <c r="V3" s="24" t="n">
        <v>1</v>
      </c>
      <c r="W3" s="24" t="n">
        <v>1</v>
      </c>
      <c r="X3" s="24" t="n">
        <v>1</v>
      </c>
      <c r="Y3" s="24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4" t="n">
        <v>0.5</v>
      </c>
      <c r="N4" s="20" t="n">
        <v>0.5</v>
      </c>
      <c r="O4" s="20" t="n">
        <v>0.5</v>
      </c>
      <c r="P4" s="20" t="n">
        <v>0.5</v>
      </c>
      <c r="Q4" s="24" t="n">
        <v>0.5</v>
      </c>
      <c r="R4" s="24" t="n">
        <v>0.5</v>
      </c>
      <c r="T4" s="24" t="n">
        <v>0.5</v>
      </c>
      <c r="U4" s="24" t="n">
        <v>0.5</v>
      </c>
      <c r="V4" s="24" t="n">
        <v>0.5</v>
      </c>
      <c r="W4" s="24" t="n">
        <v>0.5</v>
      </c>
      <c r="X4" s="24" t="n">
        <v>0.5</v>
      </c>
      <c r="Y4" s="24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4" t="n">
        <v>1.5</v>
      </c>
      <c r="N5" s="20" t="n">
        <v>1.5</v>
      </c>
      <c r="O5" s="20" t="n">
        <v>1.5</v>
      </c>
      <c r="P5" s="20" t="n">
        <v>1.5</v>
      </c>
      <c r="Q5" s="24" t="n">
        <v>1.5</v>
      </c>
      <c r="R5" s="24" t="n">
        <v>1.5</v>
      </c>
      <c r="T5" s="24" t="n">
        <v>1.5</v>
      </c>
      <c r="U5" s="24" t="n">
        <v>1.5</v>
      </c>
      <c r="V5" s="24" t="n">
        <v>1.5</v>
      </c>
      <c r="W5" s="24" t="n">
        <v>1.5</v>
      </c>
      <c r="X5" s="24" t="n">
        <v>1.5</v>
      </c>
      <c r="Y5" s="24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5" t="n">
        <v>0.005</v>
      </c>
      <c r="D6" s="25" t="n">
        <v>0.003</v>
      </c>
      <c r="E6" s="25" t="n">
        <v>0.002</v>
      </c>
      <c r="F6" s="25" t="n">
        <v>0.002</v>
      </c>
      <c r="G6" s="25" t="n">
        <v>0.002</v>
      </c>
      <c r="H6" s="25" t="n">
        <v>0.002</v>
      </c>
      <c r="I6" s="25" t="n">
        <v>0.002</v>
      </c>
      <c r="J6" s="25" t="n">
        <v>0.002</v>
      </c>
      <c r="K6" s="20" t="n">
        <v>0.002</v>
      </c>
      <c r="L6" s="20" t="n">
        <v>0.002</v>
      </c>
      <c r="M6" s="24" t="n">
        <v>0.002</v>
      </c>
      <c r="N6" s="20" t="n">
        <v>0.002</v>
      </c>
      <c r="O6" s="20" t="n">
        <v>0.002</v>
      </c>
      <c r="P6" s="26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6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4" t="n">
        <v>0.5</v>
      </c>
      <c r="N7" s="20" t="n">
        <v>0.5</v>
      </c>
      <c r="O7" s="20" t="n">
        <v>0.5</v>
      </c>
      <c r="P7" s="20" t="n">
        <v>0.5</v>
      </c>
      <c r="Q7" s="24" t="n">
        <v>0.5</v>
      </c>
      <c r="R7" s="24" t="n">
        <v>0.5</v>
      </c>
      <c r="T7" s="24" t="n">
        <v>0.5</v>
      </c>
      <c r="U7" s="24" t="n">
        <v>0.5</v>
      </c>
      <c r="V7" s="24" t="n">
        <v>0.5</v>
      </c>
      <c r="W7" s="24" t="n">
        <v>0.5</v>
      </c>
      <c r="X7" s="24" t="n">
        <v>0.5</v>
      </c>
      <c r="Y7" s="23" t="n">
        <v>0.4</v>
      </c>
      <c r="Z7" s="26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4" t="n">
        <v>0.7</v>
      </c>
      <c r="N8" s="20" t="n">
        <v>0.7</v>
      </c>
      <c r="O8" s="20" t="n">
        <v>0.7</v>
      </c>
      <c r="P8" s="20" t="n">
        <v>0.7</v>
      </c>
      <c r="Q8" s="24" t="n">
        <v>0.7</v>
      </c>
      <c r="R8" s="24" t="n">
        <v>0.7</v>
      </c>
      <c r="T8" s="24" t="n">
        <v>0.7</v>
      </c>
      <c r="U8" s="24" t="n">
        <v>0.7</v>
      </c>
      <c r="V8" s="24" t="n">
        <v>0.7</v>
      </c>
      <c r="W8" s="24" t="n">
        <v>0.7</v>
      </c>
      <c r="X8" s="24" t="n">
        <v>0.6</v>
      </c>
      <c r="Y8" s="23" t="n">
        <v>1</v>
      </c>
      <c r="Z8" s="26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5" t="n">
        <v>3</v>
      </c>
      <c r="D9" s="25" t="n">
        <v>4</v>
      </c>
      <c r="E9" s="25" t="n">
        <v>6</v>
      </c>
      <c r="F9" s="25" t="n">
        <v>8</v>
      </c>
      <c r="G9" s="25" t="n">
        <v>8</v>
      </c>
      <c r="H9" s="25" t="n">
        <v>10</v>
      </c>
      <c r="I9" s="25" t="n">
        <v>12</v>
      </c>
      <c r="J9" s="25" t="n">
        <v>15</v>
      </c>
      <c r="K9" s="26" t="n">
        <v>10</v>
      </c>
      <c r="L9" s="26" t="n">
        <v>10</v>
      </c>
      <c r="M9" s="23" t="n">
        <v>8</v>
      </c>
      <c r="N9" s="26" t="n">
        <v>12</v>
      </c>
      <c r="O9" s="26" t="n">
        <v>6</v>
      </c>
      <c r="P9" s="26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6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4" t="n">
        <v>1.2</v>
      </c>
      <c r="N10" s="20" t="n">
        <v>1.2</v>
      </c>
      <c r="O10" s="20" t="n">
        <v>1.2</v>
      </c>
      <c r="P10" s="20" t="n">
        <v>1.2</v>
      </c>
      <c r="Q10" s="24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6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4" t="n">
        <v>0.6</v>
      </c>
      <c r="N11" s="20" t="n">
        <v>0.6</v>
      </c>
      <c r="O11" s="20" t="n">
        <v>0.6</v>
      </c>
      <c r="P11" s="20" t="n">
        <v>0.6</v>
      </c>
      <c r="Q11" s="24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6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5" t="n">
        <v>50000</v>
      </c>
      <c r="E12" s="25" t="n">
        <v>50000</v>
      </c>
      <c r="F12" s="25" t="n">
        <v>10000</v>
      </c>
      <c r="G12" s="25" t="n">
        <v>10000</v>
      </c>
      <c r="H12" s="25" t="n">
        <v>5000</v>
      </c>
      <c r="I12" s="25" t="n">
        <v>5000</v>
      </c>
      <c r="J12" s="19" t="n">
        <v>5000</v>
      </c>
      <c r="K12" s="20" t="n">
        <v>5000</v>
      </c>
      <c r="L12" s="20" t="n">
        <v>5000</v>
      </c>
      <c r="M12" s="24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6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6" t="n">
        <v>6</v>
      </c>
      <c r="L14" s="26" t="n">
        <v>12</v>
      </c>
      <c r="M14" s="23" t="n">
        <v>9</v>
      </c>
      <c r="N14" s="26" t="n">
        <v>8</v>
      </c>
      <c r="O14" s="26" t="n">
        <v>9</v>
      </c>
      <c r="P14" s="26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2" t="s">
        <v>109</v>
      </c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4" t="n">
        <v>0.5</v>
      </c>
      <c r="C17" s="35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4" t="n">
        <v>1</v>
      </c>
      <c r="C18" s="35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</row>
    <row r="19" customFormat="false" ht="14.4" hidden="false" customHeight="false" outlineLevel="0" collapsed="false">
      <c r="A19" s="2" t="s">
        <v>82</v>
      </c>
      <c r="B19" s="34" t="n">
        <v>0.5</v>
      </c>
      <c r="C19" s="35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</row>
    <row r="20" customFormat="false" ht="14.4" hidden="false" customHeight="false" outlineLevel="0" collapsed="false">
      <c r="A20" s="2" t="s">
        <v>121</v>
      </c>
      <c r="B20" s="34" t="n">
        <v>1.5</v>
      </c>
      <c r="C20" s="35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</row>
    <row r="21" customFormat="false" ht="14.4" hidden="false" customHeight="false" outlineLevel="0" collapsed="false">
      <c r="A21" s="2" t="s">
        <v>84</v>
      </c>
      <c r="B21" s="36" t="n">
        <v>0.002</v>
      </c>
      <c r="C21" s="35" t="n">
        <v>0.002</v>
      </c>
      <c r="D21" s="32" t="n">
        <v>0.002</v>
      </c>
      <c r="E21" s="35" t="n">
        <v>0.0015</v>
      </c>
      <c r="F21" s="35" t="n">
        <v>0.002</v>
      </c>
      <c r="G21" s="36" t="n">
        <v>0.002</v>
      </c>
      <c r="H21" s="36" t="n">
        <v>0.002</v>
      </c>
      <c r="I21" s="26" t="n">
        <v>0.003</v>
      </c>
    </row>
    <row r="22" customFormat="false" ht="14.4" hidden="false" customHeight="false" outlineLevel="0" collapsed="false">
      <c r="A22" s="2" t="s">
        <v>79</v>
      </c>
      <c r="B22" s="34" t="n">
        <v>0.5</v>
      </c>
      <c r="C22" s="35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6" t="n">
        <v>0.4</v>
      </c>
    </row>
    <row r="23" customFormat="false" ht="14.4" hidden="false" customHeight="false" outlineLevel="0" collapsed="false">
      <c r="A23" s="2" t="s">
        <v>85</v>
      </c>
      <c r="B23" s="34" t="n">
        <v>0.7</v>
      </c>
      <c r="C23" s="35" t="n">
        <v>0.6</v>
      </c>
      <c r="D23" s="36" t="n">
        <v>0.8</v>
      </c>
      <c r="E23" s="35" t="n">
        <v>1</v>
      </c>
      <c r="F23" s="35" t="n">
        <v>1</v>
      </c>
      <c r="G23" s="36" t="n">
        <v>1</v>
      </c>
      <c r="H23" s="36" t="n">
        <v>1</v>
      </c>
      <c r="I23" s="26" t="n">
        <v>1</v>
      </c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36" t="n">
        <v>9</v>
      </c>
      <c r="C24" s="35" t="n">
        <v>9</v>
      </c>
      <c r="D24" s="36" t="n">
        <v>8</v>
      </c>
      <c r="E24" s="35" t="n">
        <v>8</v>
      </c>
      <c r="F24" s="35" t="n">
        <v>8</v>
      </c>
      <c r="G24" s="36" t="n">
        <v>8</v>
      </c>
      <c r="H24" s="36" t="n">
        <v>8</v>
      </c>
      <c r="I24" s="26" t="n">
        <v>8</v>
      </c>
    </row>
    <row r="25" customFormat="false" ht="14.4" hidden="false" customHeight="false" outlineLevel="0" collapsed="false">
      <c r="A25" s="2" t="s">
        <v>123</v>
      </c>
      <c r="B25" s="34" t="n">
        <v>1.2</v>
      </c>
      <c r="C25" s="35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</row>
    <row r="26" customFormat="false" ht="14.4" hidden="false" customHeight="false" outlineLevel="0" collapsed="false">
      <c r="A26" s="2" t="s">
        <v>124</v>
      </c>
      <c r="B26" s="34" t="n">
        <v>0.6</v>
      </c>
      <c r="C26" s="35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</row>
    <row r="27" customFormat="false" ht="14.4" hidden="false" customHeight="false" outlineLevel="0" collapsed="false">
      <c r="A27" s="2" t="s">
        <v>125</v>
      </c>
      <c r="B27" s="36" t="n">
        <v>2500</v>
      </c>
      <c r="C27" s="35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1" t="s">
        <v>139</v>
      </c>
      <c r="O27" s="1" t="s">
        <v>140</v>
      </c>
    </row>
    <row r="28" customFormat="false" ht="14.4" hidden="false" customHeight="false" outlineLevel="0" collapsed="false">
      <c r="A28" s="19" t="s">
        <v>126</v>
      </c>
      <c r="B28" s="37"/>
      <c r="C28" s="30"/>
      <c r="D28" s="38"/>
      <c r="E28" s="38"/>
      <c r="F28" s="38"/>
      <c r="G28" s="38"/>
      <c r="H28" s="38"/>
      <c r="I28" s="22"/>
      <c r="J28" s="1" t="n">
        <f aca="false">1.658-1.02</f>
        <v>0.638</v>
      </c>
      <c r="L28" s="1" t="n">
        <v>11657</v>
      </c>
      <c r="M28" s="1" t="n">
        <v>11803</v>
      </c>
      <c r="O28" s="1" t="n">
        <v>11276</v>
      </c>
      <c r="P28" s="1" t="n">
        <v>11385</v>
      </c>
      <c r="R28" s="1" t="n">
        <f aca="false">1.743-1.02</f>
        <v>0.723</v>
      </c>
      <c r="S28" s="1" t="n">
        <v>0.700903</v>
      </c>
    </row>
    <row r="29" customFormat="false" ht="14.4" hidden="false" customHeight="false" outlineLevel="0" collapsed="false">
      <c r="A29" s="29" t="s">
        <v>128</v>
      </c>
      <c r="B29" s="39"/>
      <c r="C29" s="30"/>
      <c r="D29" s="38"/>
      <c r="E29" s="38"/>
      <c r="F29" s="38"/>
      <c r="G29" s="38"/>
      <c r="H29" s="38"/>
      <c r="I29" s="22"/>
      <c r="J29" s="1" t="n">
        <f aca="false">1-(0.588586/0.638)</f>
        <v>0.0774514106583072</v>
      </c>
      <c r="M29" s="1" t="n">
        <f aca="false">1-(L28/M28)</f>
        <v>0.0123697365076676</v>
      </c>
      <c r="O29" s="1" t="n">
        <f aca="false">1-(O28/P28)</f>
        <v>0.0095740008783487</v>
      </c>
      <c r="R29" s="1" t="n">
        <f aca="false">1-(S28/R28)</f>
        <v>0.0305629322268327</v>
      </c>
    </row>
    <row r="30" customFormat="false" ht="14.4" hidden="false" customHeight="false" outlineLevel="0" collapsed="false">
      <c r="A30" s="29" t="s">
        <v>134</v>
      </c>
      <c r="B30" s="18" t="n">
        <v>1</v>
      </c>
      <c r="C30" s="35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</row>
    <row r="31" customFormat="false" ht="14.4" hidden="false" customHeight="false" outlineLevel="0" collapsed="false">
      <c r="A31" s="29" t="s">
        <v>136</v>
      </c>
      <c r="B31" s="18" t="n">
        <v>2</v>
      </c>
      <c r="C31" s="35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</row>
    <row r="32" customFormat="false" ht="14.4" hidden="false" customHeight="false" outlineLevel="0" collapsed="false">
      <c r="B32" s="1" t="s">
        <v>141</v>
      </c>
      <c r="M32" s="1" t="n">
        <f aca="false">1.446-0.68</f>
        <v>0.766</v>
      </c>
      <c r="N32" s="1" t="n">
        <f aca="false">1.148-0.595</f>
        <v>0.553</v>
      </c>
    </row>
    <row r="33" customFormat="false" ht="14.4" hidden="false" customHeight="false" outlineLevel="0" collapsed="false">
      <c r="A33" s="2" t="s">
        <v>142</v>
      </c>
      <c r="B33" s="18" t="s">
        <v>102</v>
      </c>
      <c r="J33" s="1" t="n">
        <f aca="false">1.701-1.063</f>
        <v>0.638</v>
      </c>
    </row>
    <row r="34" customFormat="false" ht="14.4" hidden="false" customHeight="false" outlineLevel="0" collapsed="false">
      <c r="A34" s="2" t="s">
        <v>80</v>
      </c>
      <c r="B34" s="19" t="n">
        <v>0.5</v>
      </c>
      <c r="J34" s="1" t="n">
        <f aca="false">1-(J33/0.78)</f>
        <v>0.182051282051282</v>
      </c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5" t="n">
        <v>0.002</v>
      </c>
      <c r="N38" s="1" t="n">
        <f aca="false">0.85-0.34</f>
        <v>0.51</v>
      </c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5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5" t="n">
        <v>2500</v>
      </c>
    </row>
    <row r="45" customFormat="false" ht="14.4" hidden="false" customHeight="false" outlineLevel="0" collapsed="false">
      <c r="A45" s="19" t="s">
        <v>126</v>
      </c>
      <c r="B45" s="37"/>
    </row>
    <row r="46" customFormat="false" ht="14.4" hidden="false" customHeight="false" outlineLevel="0" collapsed="false">
      <c r="A46" s="29" t="s">
        <v>128</v>
      </c>
      <c r="B46" s="39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142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5" t="s">
        <v>109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19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19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19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19" t="n">
        <v>1.5</v>
      </c>
    </row>
    <row r="54" customFormat="false" ht="14.4" hidden="false" customHeight="false" outlineLevel="0" collapsed="false">
      <c r="A54" s="2" t="s">
        <v>84</v>
      </c>
      <c r="B54" s="25" t="n">
        <v>0.002</v>
      </c>
      <c r="C54" s="25" t="n">
        <v>0.002</v>
      </c>
      <c r="D54" s="25" t="n">
        <v>0.002</v>
      </c>
      <c r="E54" s="25" t="n">
        <v>0.003</v>
      </c>
      <c r="F54" s="25" t="n">
        <v>0.003</v>
      </c>
      <c r="G54" s="25" t="n">
        <v>0.003</v>
      </c>
      <c r="H54" s="25" t="n">
        <v>0.003</v>
      </c>
      <c r="I54" s="25" t="n">
        <v>0.003</v>
      </c>
      <c r="J54" s="25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19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19" t="n">
        <v>1</v>
      </c>
    </row>
    <row r="57" customFormat="false" ht="14.4" hidden="false" customHeight="false" outlineLevel="0" collapsed="false">
      <c r="A57" s="2" t="s">
        <v>122</v>
      </c>
      <c r="B57" s="25" t="n">
        <v>9</v>
      </c>
      <c r="C57" s="25" t="n">
        <v>10</v>
      </c>
      <c r="D57" s="25" t="n">
        <v>10</v>
      </c>
      <c r="E57" s="25" t="n">
        <v>12</v>
      </c>
      <c r="F57" s="25" t="n">
        <v>10</v>
      </c>
      <c r="G57" s="25" t="n">
        <v>11</v>
      </c>
      <c r="H57" s="25" t="n">
        <v>12</v>
      </c>
      <c r="I57" s="25" t="n">
        <v>10</v>
      </c>
      <c r="J57" s="2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19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19" t="n">
        <v>0.6</v>
      </c>
    </row>
    <row r="60" customFormat="false" ht="14.4" hidden="false" customHeight="false" outlineLevel="0" collapsed="false">
      <c r="A60" s="2" t="s">
        <v>125</v>
      </c>
      <c r="B60" s="25" t="n">
        <v>2500</v>
      </c>
      <c r="C60" s="25" t="n">
        <v>1000</v>
      </c>
      <c r="D60" s="25" t="n">
        <v>1000</v>
      </c>
      <c r="E60" s="25" t="n">
        <v>2500</v>
      </c>
      <c r="F60" s="25" t="n">
        <v>2000</v>
      </c>
      <c r="G60" s="25" t="n">
        <v>2500</v>
      </c>
      <c r="H60" s="25" t="n">
        <v>2500</v>
      </c>
      <c r="I60" s="25" t="n">
        <v>2500</v>
      </c>
      <c r="J60" s="25" t="n">
        <v>2500</v>
      </c>
    </row>
    <row r="61" customFormat="false" ht="14.4" hidden="false" customHeight="false" outlineLevel="0" collapsed="false">
      <c r="A61" s="19" t="s">
        <v>126</v>
      </c>
      <c r="B61" s="37"/>
      <c r="C61" s="37"/>
      <c r="D61" s="37"/>
      <c r="E61" s="37"/>
      <c r="F61" s="37"/>
      <c r="G61" s="37"/>
      <c r="H61" s="37"/>
      <c r="I61" s="37"/>
      <c r="J61" s="37"/>
    </row>
    <row r="62" customFormat="false" ht="14.4" hidden="false" customHeight="false" outlineLevel="0" collapsed="false">
      <c r="A62" s="29" t="s">
        <v>128</v>
      </c>
      <c r="B62" s="39"/>
      <c r="C62" s="39"/>
      <c r="D62" s="39"/>
      <c r="E62" s="39"/>
      <c r="F62" s="39"/>
      <c r="G62" s="39"/>
      <c r="H62" s="39"/>
      <c r="I62" s="39"/>
      <c r="J62" s="3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5" t="n">
        <v>2</v>
      </c>
      <c r="F63" s="25" t="n">
        <v>2</v>
      </c>
      <c r="G63" s="25" t="n">
        <v>3</v>
      </c>
      <c r="H63" s="25" t="n">
        <v>3</v>
      </c>
      <c r="I63" s="25" t="n">
        <v>3</v>
      </c>
      <c r="J63" s="2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5" t="n">
        <v>4</v>
      </c>
      <c r="F64" s="25" t="n">
        <v>4</v>
      </c>
      <c r="G64" s="25" t="n">
        <v>2</v>
      </c>
      <c r="H64" s="25" t="n">
        <v>2</v>
      </c>
      <c r="I64" s="25" t="n">
        <v>2</v>
      </c>
      <c r="J64" s="25" t="n">
        <v>2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143</v>
      </c>
      <c r="B68" s="18" t="s">
        <v>102</v>
      </c>
      <c r="C68" s="22" t="s">
        <v>103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</row>
    <row r="73" customFormat="false" ht="14.4" hidden="false" customHeight="false" outlineLevel="0" collapsed="false">
      <c r="A73" s="2" t="s">
        <v>84</v>
      </c>
      <c r="B73" s="25" t="n">
        <v>0.002</v>
      </c>
      <c r="C73" s="26" t="n">
        <v>0.002</v>
      </c>
      <c r="D73" s="40" t="s">
        <v>144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</row>
    <row r="76" customFormat="false" ht="14.4" hidden="false" customHeight="false" outlineLevel="0" collapsed="false">
      <c r="A76" s="2" t="s">
        <v>122</v>
      </c>
      <c r="B76" s="25" t="n">
        <v>9</v>
      </c>
      <c r="C76" s="41" t="n">
        <v>10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</row>
    <row r="79" customFormat="false" ht="14.4" hidden="false" customHeight="false" outlineLevel="0" collapsed="false">
      <c r="A79" s="2" t="s">
        <v>125</v>
      </c>
      <c r="B79" s="25" t="n">
        <v>2500</v>
      </c>
      <c r="C79" s="26" t="n">
        <v>2500</v>
      </c>
    </row>
    <row r="80" customFormat="false" ht="14.4" hidden="false" customHeight="false" outlineLevel="0" collapsed="false">
      <c r="A80" s="19" t="s">
        <v>126</v>
      </c>
      <c r="B80" s="37"/>
      <c r="C80" s="42"/>
    </row>
    <row r="81" customFormat="false" ht="14.4" hidden="false" customHeight="false" outlineLevel="0" collapsed="false">
      <c r="A81" s="29" t="s">
        <v>128</v>
      </c>
      <c r="B81" s="39"/>
      <c r="C81" s="26"/>
    </row>
    <row r="82" customFormat="false" ht="14.4" hidden="false" customHeight="false" outlineLevel="0" collapsed="false">
      <c r="A82" s="19" t="s">
        <v>134</v>
      </c>
      <c r="B82" s="25" t="n">
        <v>3</v>
      </c>
      <c r="C82" s="26" t="n">
        <v>3</v>
      </c>
    </row>
    <row r="83" customFormat="false" ht="14.4" hidden="false" customHeight="false" outlineLevel="0" collapsed="false">
      <c r="A83" s="19" t="s">
        <v>136</v>
      </c>
      <c r="B83" s="25" t="n">
        <v>2</v>
      </c>
      <c r="C83" s="26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145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5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19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19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19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19" t="n">
        <v>1.5</v>
      </c>
    </row>
    <row r="91" customFormat="false" ht="14.4" hidden="false" customHeight="false" outlineLevel="0" collapsed="false">
      <c r="A91" s="2" t="s">
        <v>84</v>
      </c>
      <c r="B91" s="25" t="n">
        <v>0.002</v>
      </c>
      <c r="C91" s="25" t="n">
        <v>0.003</v>
      </c>
      <c r="D91" s="25" t="n">
        <v>0.003</v>
      </c>
      <c r="E91" s="25" t="n">
        <v>0.003</v>
      </c>
      <c r="F91" s="25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19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19" t="n">
        <v>1</v>
      </c>
    </row>
    <row r="94" customFormat="false" ht="14.4" hidden="false" customHeight="false" outlineLevel="0" collapsed="false">
      <c r="A94" s="2" t="s">
        <v>122</v>
      </c>
      <c r="B94" s="25" t="n">
        <v>8</v>
      </c>
      <c r="C94" s="25" t="n">
        <v>6</v>
      </c>
      <c r="D94" s="25" t="n">
        <v>4</v>
      </c>
      <c r="E94" s="25" t="n">
        <v>2</v>
      </c>
      <c r="F94" s="25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19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19" t="n">
        <v>0.6</v>
      </c>
    </row>
    <row r="97" customFormat="false" ht="14.4" hidden="false" customHeight="false" outlineLevel="0" collapsed="false">
      <c r="A97" s="2" t="s">
        <v>125</v>
      </c>
      <c r="B97" s="25" t="n">
        <v>2500</v>
      </c>
      <c r="C97" s="25" t="n">
        <v>2000</v>
      </c>
      <c r="D97" s="25" t="n">
        <v>2000</v>
      </c>
      <c r="E97" s="25" t="n">
        <v>5000</v>
      </c>
      <c r="F97" s="25" t="n">
        <v>5000</v>
      </c>
    </row>
    <row r="98" customFormat="false" ht="14.4" hidden="false" customHeight="false" outlineLevel="0" collapsed="false">
      <c r="A98" s="19" t="s">
        <v>126</v>
      </c>
      <c r="B98" s="37"/>
      <c r="C98" s="37"/>
      <c r="D98" s="37"/>
      <c r="E98" s="37"/>
      <c r="F98" s="37"/>
    </row>
    <row r="99" customFormat="false" ht="14.4" hidden="false" customHeight="false" outlineLevel="0" collapsed="false">
      <c r="A99" s="29" t="s">
        <v>128</v>
      </c>
      <c r="B99" s="39"/>
      <c r="C99" s="39"/>
      <c r="D99" s="39"/>
      <c r="E99" s="39"/>
      <c r="F99" s="39"/>
    </row>
    <row r="100" customFormat="false" ht="14.4" hidden="false" customHeight="false" outlineLevel="0" collapsed="false">
      <c r="A100" s="19" t="s">
        <v>134</v>
      </c>
      <c r="B100" s="19" t="n">
        <v>2</v>
      </c>
      <c r="C100" s="25" t="n">
        <v>3</v>
      </c>
      <c r="D100" s="25" t="n">
        <v>3</v>
      </c>
      <c r="E100" s="25" t="n">
        <v>3</v>
      </c>
      <c r="F100" s="25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5" t="n">
        <v>2</v>
      </c>
      <c r="D101" s="25" t="n">
        <v>2</v>
      </c>
      <c r="E101" s="25" t="n">
        <v>2</v>
      </c>
      <c r="F101" s="25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146</v>
      </c>
      <c r="B104" s="18" t="s">
        <v>102</v>
      </c>
      <c r="C104" s="1" t="s">
        <v>103</v>
      </c>
    </row>
    <row r="105" customFormat="false" ht="14.4" hidden="false" customHeight="false" outlineLevel="0" collapsed="false">
      <c r="A105" s="2" t="s">
        <v>80</v>
      </c>
      <c r="B105" s="19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</row>
    <row r="109" customFormat="false" ht="14.4" hidden="false" customHeight="false" outlineLevel="0" collapsed="false">
      <c r="A109" s="2" t="s">
        <v>84</v>
      </c>
      <c r="B109" s="25" t="n">
        <v>0.002</v>
      </c>
      <c r="C109" s="43" t="s">
        <v>147</v>
      </c>
    </row>
    <row r="110" customFormat="false" ht="14.4" hidden="false" customHeight="false" outlineLevel="0" collapsed="false">
      <c r="A110" s="2" t="s">
        <v>79</v>
      </c>
      <c r="B110" s="19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</row>
    <row r="112" customFormat="false" ht="14.4" hidden="false" customHeight="false" outlineLevel="0" collapsed="false">
      <c r="A112" s="2" t="s">
        <v>122</v>
      </c>
      <c r="B112" s="25" t="n">
        <v>2</v>
      </c>
      <c r="C112" s="1" t="s">
        <v>148</v>
      </c>
    </row>
    <row r="113" customFormat="false" ht="14.4" hidden="false" customHeight="false" outlineLevel="0" collapsed="false">
      <c r="A113" s="2" t="s">
        <v>123</v>
      </c>
      <c r="B113" s="19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</row>
    <row r="115" customFormat="false" ht="14.4" hidden="false" customHeight="false" outlineLevel="0" collapsed="false">
      <c r="A115" s="2" t="s">
        <v>125</v>
      </c>
      <c r="B115" s="25" t="n">
        <v>5000</v>
      </c>
    </row>
    <row r="116" customFormat="false" ht="14.4" hidden="false" customHeight="false" outlineLevel="0" collapsed="false">
      <c r="A116" s="19" t="s">
        <v>126</v>
      </c>
      <c r="B116" s="37"/>
    </row>
    <row r="117" customFormat="false" ht="14.4" hidden="false" customHeight="false" outlineLevel="0" collapsed="false">
      <c r="A117" s="29" t="s">
        <v>128</v>
      </c>
      <c r="B117" s="39"/>
    </row>
    <row r="118" customFormat="false" ht="14.4" hidden="false" customHeight="false" outlineLevel="0" collapsed="false">
      <c r="A118" s="19" t="s">
        <v>134</v>
      </c>
      <c r="B118" s="25" t="n">
        <v>3</v>
      </c>
    </row>
    <row r="119" customFormat="false" ht="14.4" hidden="false" customHeight="false" outlineLevel="0" collapsed="false">
      <c r="A119" s="19" t="s">
        <v>136</v>
      </c>
      <c r="B119" s="25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4732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2026-03-01T16:46:24Z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