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ysosomes_with_cell_vs_outside" sheetId="1" r:id="rId1"/>
  </sheets>
  <definedNames>
    <definedName name="_xlnm._FilterDatabase" localSheetId="0" hidden="1">lysosomes_with_cell_vs_outside!$A$1:$I$29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<sst xmlns="http://schemas.openxmlformats.org/spreadsheetml/2006/main" count="42" uniqueCount="15">
  <si>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id</t>
  </si>
  <si>
    <t>z_um</t>
  </si>
  <si>
    <t>y_um</t>
  </si>
  <si>
    <t>x_um</t>
  </si>
  <si>
    <t>radius_um</t>
  </si>
  <si>
    <t>diameter_um</t>
  </si>
  <si>
    <t>volume_um3</t>
  </si>
  <si>
    <t>location_ch2</t>
  </si>
  <si>
    <t>cell_id_ch2</t>
  </si>
  <si>
    <t>cell</t>
  </si>
  <si>
    <t>00</t>
  </si>
  <si>
    <t>DIAMTER UM</t>
  </si>
  <si>
    <t>average</t>
  </si>
  <si>
    <t>STD DESV</t>
  </si>
  <si>
    <t>AVG + STD DESV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</si>
</sst>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6" applyNumberFormat="0" applyAlignment="0" applyProtection="0">
      <alignment vertical="center"/>
    </xf>
    <xf numFmtId="0" fontId="11" fillId="8" borderId="17" applyNumberFormat="0" applyAlignment="0" applyProtection="0">
      <alignment vertical="center"/>
    </xf>
    <xf numFmtId="0" fontId="12" fillId="8" borderId="16" applyNumberFormat="0" applyAlignment="0" applyProtection="0">
      <alignment vertical="center"/>
    </xf>
    <xf numFmtId="0" fontId="13" fillId="9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8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78" fontId="0" fillId="4" borderId="6" xfId="0" applyNumberForma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5" borderId="6" xfId="0" applyFill="1" applyBorder="1" applyAlignment="1">
      <alignment horizontal="center" vertical="center"/>
    </xf>
    <xf numFmtId="178" fontId="0" fillId="5" borderId="6" xfId="0" applyNumberForma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78" fontId="0" fillId="0" borderId="6" xfId="0" applyNumberFormat="1" applyFont="1" applyBorder="1" applyAlignment="1">
      <alignment horizontal="center" vertical="center"/>
    </xf>
    <xf numFmtId="178" fontId="0" fillId="0" borderId="6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6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4"/>
  <sheetViews>
    <sheetView tabSelected="1" zoomScaleSheetLayoutView="60" workbookViewId="0">
      <selection activeCell="M10" sqref="M10"/>
    </sheetView>
  </sheetViews>
  <sheetFormatPr defaultColWidth="10" defaultRowHeight="14.4"/>
  <cols>
    <col min="2" max="2" width="11.7777777777778"/>
    <col min="3" max="4" width="10.6666666666667"/>
    <col min="5" max="5" width="15.4444444444444" customWidth="1"/>
    <col min="6" max="7" width="12.8888888888889"/>
  </cols>
  <sheetData>
    <row r="1" ht="15.1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8" t="s">
        <v>8</v>
      </c>
    </row>
    <row r="2" spans="1:9">
      <c r="A2" s="3">
        <v>1</v>
      </c>
      <c r="B2" s="4">
        <v>0.39999998</v>
      </c>
      <c r="C2" s="4">
        <v>12.32</v>
      </c>
      <c r="D2" s="4">
        <v>18.88</v>
      </c>
      <c r="E2" s="5">
        <v>0.125</v>
      </c>
      <c r="F2" s="5">
        <v>0.25</v>
      </c>
      <c r="G2" s="5">
        <v>0.00818123086872341</v>
      </c>
      <c r="H2" s="4" t="s">
        <v>9</v>
      </c>
      <c r="I2" s="29">
        <v>78</v>
      </c>
    </row>
    <row r="3" spans="1:9">
      <c r="A3" s="6">
        <v>3</v>
      </c>
      <c r="B3" s="7">
        <v>0.39999998</v>
      </c>
      <c r="C3" s="7">
        <v>9.88</v>
      </c>
      <c r="D3" s="7">
        <v>16.6</v>
      </c>
      <c r="E3" s="8">
        <v>0.164999991655349</v>
      </c>
      <c r="F3" s="8">
        <v>0.329999983310699</v>
      </c>
      <c r="G3" s="8">
        <v>0.0188165663438091</v>
      </c>
      <c r="H3" s="7" t="s">
        <v>9</v>
      </c>
      <c r="I3" s="30">
        <v>78</v>
      </c>
    </row>
    <row r="4" spans="1:9">
      <c r="A4" s="6">
        <v>8</v>
      </c>
      <c r="B4" s="7">
        <v>0.44</v>
      </c>
      <c r="C4" s="7">
        <v>9.88</v>
      </c>
      <c r="D4" s="7">
        <v>17.44</v>
      </c>
      <c r="E4" s="8">
        <v>0.13432499051094</v>
      </c>
      <c r="F4" s="8">
        <v>0.268649981021881</v>
      </c>
      <c r="G4" s="8">
        <v>0.0101521742894264</v>
      </c>
      <c r="H4" s="7" t="s">
        <v>9</v>
      </c>
      <c r="I4" s="30">
        <v>78</v>
      </c>
    </row>
    <row r="5" spans="1:9">
      <c r="A5" s="6">
        <v>10</v>
      </c>
      <c r="B5" s="7">
        <v>0.35999998</v>
      </c>
      <c r="C5" s="7">
        <v>12.679999</v>
      </c>
      <c r="D5" s="7">
        <v>17.6</v>
      </c>
      <c r="E5" s="8">
        <v>0.146087495796382</v>
      </c>
      <c r="F5" s="8">
        <v>0.292174991592764</v>
      </c>
      <c r="G5" s="8">
        <v>0.0130595358812157</v>
      </c>
      <c r="H5" s="7" t="s">
        <v>9</v>
      </c>
      <c r="I5" s="30">
        <v>78</v>
      </c>
    </row>
    <row r="6" spans="1:9">
      <c r="A6" s="6">
        <v>13</v>
      </c>
      <c r="B6" s="7">
        <v>0.44</v>
      </c>
      <c r="C6" s="7">
        <v>12.719999</v>
      </c>
      <c r="D6" s="7">
        <v>16.84</v>
      </c>
      <c r="E6" s="8">
        <v>0.124375</v>
      </c>
      <c r="F6" s="8">
        <v>0.24875</v>
      </c>
      <c r="G6" s="8">
        <v>0.00805912497535386</v>
      </c>
      <c r="H6" s="7" t="s">
        <v>9</v>
      </c>
      <c r="I6" s="30">
        <v>78</v>
      </c>
    </row>
    <row r="7" spans="1:9">
      <c r="A7" s="9">
        <v>5</v>
      </c>
      <c r="B7" s="10">
        <v>0.24</v>
      </c>
      <c r="C7" s="10">
        <v>21.76</v>
      </c>
      <c r="D7" s="10">
        <v>9.92</v>
      </c>
      <c r="E7" s="11">
        <v>0.145362495817244</v>
      </c>
      <c r="F7" s="11">
        <v>0.290724991634488</v>
      </c>
      <c r="G7" s="11">
        <v>0.0128660644444322</v>
      </c>
      <c r="H7" s="10" t="s">
        <v>9</v>
      </c>
      <c r="I7" s="31">
        <v>151</v>
      </c>
    </row>
    <row r="8" spans="1:9">
      <c r="A8" s="9">
        <v>9</v>
      </c>
      <c r="B8" s="10">
        <v>0.24</v>
      </c>
      <c r="C8" s="10">
        <v>21.92</v>
      </c>
      <c r="D8" s="10">
        <v>10.32</v>
      </c>
      <c r="E8" s="11">
        <v>0.144274995848536</v>
      </c>
      <c r="F8" s="11">
        <v>0.288549991697072</v>
      </c>
      <c r="G8" s="11">
        <v>0.0125794548516214</v>
      </c>
      <c r="H8" s="10" t="s">
        <v>9</v>
      </c>
      <c r="I8" s="31">
        <v>151</v>
      </c>
    </row>
    <row r="9" spans="1:9">
      <c r="A9" s="9">
        <v>12</v>
      </c>
      <c r="B9" s="10">
        <v>0.52</v>
      </c>
      <c r="C9" s="10">
        <v>21.16</v>
      </c>
      <c r="D9" s="10">
        <v>9.92</v>
      </c>
      <c r="E9" s="11">
        <v>0.143549995869398</v>
      </c>
      <c r="F9" s="11">
        <v>0.287099991738796</v>
      </c>
      <c r="G9" s="11">
        <v>0.0123907661974156</v>
      </c>
      <c r="H9" s="10" t="s">
        <v>9</v>
      </c>
      <c r="I9" s="31">
        <v>151</v>
      </c>
    </row>
    <row r="10" spans="1:9">
      <c r="A10" s="9">
        <v>14</v>
      </c>
      <c r="B10" s="10">
        <v>0.52</v>
      </c>
      <c r="C10" s="10">
        <v>20.68</v>
      </c>
      <c r="D10" s="10">
        <v>12.639999</v>
      </c>
      <c r="E10" s="11">
        <v>0.164174991697072</v>
      </c>
      <c r="F10" s="11">
        <v>0.328349983394145</v>
      </c>
      <c r="G10" s="11">
        <v>0.0185357267390569</v>
      </c>
      <c r="H10" s="10" t="s">
        <v>9</v>
      </c>
      <c r="I10" s="31">
        <v>151</v>
      </c>
    </row>
    <row r="11" spans="1:9">
      <c r="A11" s="9">
        <v>19</v>
      </c>
      <c r="B11" s="10">
        <v>0.56</v>
      </c>
      <c r="C11" s="10">
        <v>20.6</v>
      </c>
      <c r="D11" s="10">
        <v>11.88</v>
      </c>
      <c r="E11" s="11">
        <v>0.1265625</v>
      </c>
      <c r="F11" s="11">
        <v>0.253125</v>
      </c>
      <c r="G11" s="11">
        <v>0.0084918779572368</v>
      </c>
      <c r="H11" s="10" t="s">
        <v>9</v>
      </c>
      <c r="I11" s="31">
        <v>151</v>
      </c>
    </row>
    <row r="12" spans="1:9">
      <c r="A12" s="9">
        <v>21</v>
      </c>
      <c r="B12" s="10">
        <v>0.44</v>
      </c>
      <c r="C12" s="10">
        <v>22</v>
      </c>
      <c r="D12" s="10">
        <v>10.16</v>
      </c>
      <c r="E12" s="11">
        <v>0.136012490391731</v>
      </c>
      <c r="F12" s="11">
        <v>0.272024980783462</v>
      </c>
      <c r="G12" s="11">
        <v>0.0105396208316636</v>
      </c>
      <c r="H12" s="10" t="s">
        <v>9</v>
      </c>
      <c r="I12" s="31">
        <v>151</v>
      </c>
    </row>
    <row r="13" spans="1:9">
      <c r="A13" s="9">
        <v>22</v>
      </c>
      <c r="B13" s="10">
        <v>0.39999998</v>
      </c>
      <c r="C13" s="10">
        <v>20.119999</v>
      </c>
      <c r="D13" s="10">
        <v>12.4</v>
      </c>
      <c r="E13" s="11">
        <v>0.1271875</v>
      </c>
      <c r="F13" s="11">
        <v>0.254375</v>
      </c>
      <c r="G13" s="11">
        <v>0.00861830584147622</v>
      </c>
      <c r="H13" s="10" t="s">
        <v>9</v>
      </c>
      <c r="I13" s="31">
        <v>151</v>
      </c>
    </row>
    <row r="14" spans="1:9">
      <c r="A14" s="9">
        <v>24</v>
      </c>
      <c r="B14" s="10">
        <v>0.24</v>
      </c>
      <c r="C14" s="10">
        <v>20.96</v>
      </c>
      <c r="D14" s="10">
        <v>9.679999</v>
      </c>
      <c r="E14" s="11">
        <v>0.133649990558624</v>
      </c>
      <c r="F14" s="11">
        <v>0.267299981117248</v>
      </c>
      <c r="G14" s="11">
        <v>0.00999989423225946</v>
      </c>
      <c r="H14" s="10" t="s">
        <v>9</v>
      </c>
      <c r="I14" s="31">
        <v>151</v>
      </c>
    </row>
    <row r="15" spans="1:9">
      <c r="A15" s="12">
        <v>26</v>
      </c>
      <c r="B15" s="13">
        <v>0.32</v>
      </c>
      <c r="C15" s="13">
        <v>21.439999</v>
      </c>
      <c r="D15" s="13">
        <v>12.08</v>
      </c>
      <c r="E15" s="14">
        <v>0.121875</v>
      </c>
      <c r="F15" s="14">
        <v>0.24375</v>
      </c>
      <c r="G15" s="14">
        <v>0.00758285052971569</v>
      </c>
      <c r="H15" s="13" t="s">
        <v>9</v>
      </c>
      <c r="I15" s="32">
        <v>151</v>
      </c>
    </row>
    <row r="16" spans="1:9">
      <c r="A16" s="15">
        <v>2</v>
      </c>
      <c r="B16" s="15">
        <v>0.68</v>
      </c>
      <c r="C16" s="15">
        <v>22.72</v>
      </c>
      <c r="D16" s="15">
        <v>16.52</v>
      </c>
      <c r="E16" s="16">
        <v>0.144999995827674</v>
      </c>
      <c r="F16" s="16">
        <v>0.289999991655349</v>
      </c>
      <c r="G16" s="16">
        <v>0.0127700494357055</v>
      </c>
      <c r="H16" s="15" t="s">
        <v>9</v>
      </c>
      <c r="I16" s="15">
        <v>155</v>
      </c>
    </row>
    <row r="17" spans="1:9">
      <c r="A17" s="15">
        <v>4</v>
      </c>
      <c r="B17" s="15">
        <v>0.64</v>
      </c>
      <c r="C17" s="15">
        <v>23.119999</v>
      </c>
      <c r="D17" s="15">
        <v>18.08</v>
      </c>
      <c r="E17" s="16">
        <v>0.134999990463256</v>
      </c>
      <c r="F17" s="16">
        <v>0.269999980926513</v>
      </c>
      <c r="G17" s="16">
        <v>0.0103059925159764</v>
      </c>
      <c r="H17" s="15" t="s">
        <v>9</v>
      </c>
      <c r="I17" s="15">
        <v>155</v>
      </c>
    </row>
    <row r="18" spans="1:9">
      <c r="A18" s="15">
        <v>6</v>
      </c>
      <c r="B18" s="15">
        <v>0.59999996</v>
      </c>
      <c r="C18" s="15">
        <v>21.56</v>
      </c>
      <c r="D18" s="15">
        <v>16.52</v>
      </c>
      <c r="E18" s="16">
        <v>0.1253125</v>
      </c>
      <c r="F18" s="16">
        <v>0.250625</v>
      </c>
      <c r="G18" s="16">
        <v>0.00824274362614936</v>
      </c>
      <c r="H18" s="15" t="s">
        <v>9</v>
      </c>
      <c r="I18" s="15">
        <v>155</v>
      </c>
    </row>
    <row r="19" spans="1:9">
      <c r="A19" s="15">
        <v>7</v>
      </c>
      <c r="B19" s="15">
        <v>0.64</v>
      </c>
      <c r="C19" s="15">
        <v>22.119999</v>
      </c>
      <c r="D19" s="15">
        <v>18.359999</v>
      </c>
      <c r="E19" s="16">
        <v>0.135337490439414</v>
      </c>
      <c r="F19" s="16">
        <v>0.270674980878829</v>
      </c>
      <c r="G19" s="16">
        <v>0.0103834808582371</v>
      </c>
      <c r="H19" s="15" t="s">
        <v>9</v>
      </c>
      <c r="I19" s="15">
        <v>155</v>
      </c>
    </row>
    <row r="20" spans="1:9">
      <c r="A20" s="15">
        <v>11</v>
      </c>
      <c r="B20" s="15">
        <v>0.32</v>
      </c>
      <c r="C20" s="15">
        <v>22.199999</v>
      </c>
      <c r="D20" s="15">
        <v>17.44</v>
      </c>
      <c r="E20" s="16">
        <v>0.165412491634488</v>
      </c>
      <c r="F20" s="16">
        <v>0.330824983268976</v>
      </c>
      <c r="G20" s="16">
        <v>0.0189580436960154</v>
      </c>
      <c r="H20" s="15" t="s">
        <v>9</v>
      </c>
      <c r="I20" s="15">
        <v>155</v>
      </c>
    </row>
    <row r="21" spans="1:9">
      <c r="A21" s="15">
        <v>15</v>
      </c>
      <c r="B21" s="15">
        <v>0.68</v>
      </c>
      <c r="C21" s="15">
        <v>22.88</v>
      </c>
      <c r="D21" s="15">
        <v>17.16</v>
      </c>
      <c r="E21" s="16">
        <v>0.166237491592764</v>
      </c>
      <c r="F21" s="16">
        <v>0.332474983185529</v>
      </c>
      <c r="G21" s="16">
        <v>0.0192431223203542</v>
      </c>
      <c r="H21" s="15" t="s">
        <v>9</v>
      </c>
      <c r="I21" s="15">
        <v>155</v>
      </c>
    </row>
    <row r="22" spans="1:9">
      <c r="A22" s="15">
        <v>16</v>
      </c>
      <c r="B22" s="15">
        <v>0.68</v>
      </c>
      <c r="C22" s="15">
        <v>23.08</v>
      </c>
      <c r="D22" s="15">
        <v>16.84</v>
      </c>
      <c r="E22" s="16">
        <v>0.163349991738796</v>
      </c>
      <c r="F22" s="16">
        <v>0.326699983477592</v>
      </c>
      <c r="G22" s="16">
        <v>0.0182576955068316</v>
      </c>
      <c r="H22" s="15" t="s">
        <v>9</v>
      </c>
      <c r="I22" s="15">
        <v>155</v>
      </c>
    </row>
    <row r="23" spans="1:9">
      <c r="A23" s="15">
        <v>17</v>
      </c>
      <c r="B23" s="15">
        <v>0.44</v>
      </c>
      <c r="C23" s="15">
        <v>23</v>
      </c>
      <c r="D23" s="15">
        <v>15.44</v>
      </c>
      <c r="E23" s="16">
        <v>0.1259375</v>
      </c>
      <c r="F23" s="16">
        <v>0.251875</v>
      </c>
      <c r="G23" s="16">
        <v>0.00836669259743556</v>
      </c>
      <c r="H23" s="15" t="s">
        <v>9</v>
      </c>
      <c r="I23" s="15">
        <v>155</v>
      </c>
    </row>
    <row r="24" spans="1:9">
      <c r="A24" s="15">
        <v>18</v>
      </c>
      <c r="B24" s="15">
        <v>0.64</v>
      </c>
      <c r="C24" s="15">
        <v>23.199999</v>
      </c>
      <c r="D24" s="15">
        <v>18.84</v>
      </c>
      <c r="E24" s="16">
        <v>0.12375</v>
      </c>
      <c r="F24" s="16">
        <v>0.2475</v>
      </c>
      <c r="G24" s="16">
        <v>0.00793824013069146</v>
      </c>
      <c r="H24" s="15" t="s">
        <v>9</v>
      </c>
      <c r="I24" s="15">
        <v>155</v>
      </c>
    </row>
    <row r="25" hidden="1" spans="1:9">
      <c r="A25">
        <v>25</v>
      </c>
      <c r="B25">
        <v>0.64</v>
      </c>
      <c r="C25">
        <v>20.84</v>
      </c>
      <c r="D25">
        <v>16.32</v>
      </c>
      <c r="E25">
        <v>0.1278125</v>
      </c>
      <c r="F25">
        <v>0.255625</v>
      </c>
      <c r="G25" s="17">
        <v>0.00874598238607698</v>
      </c>
      <c r="H25" t="s">
        <v>9</v>
      </c>
      <c r="I25">
        <v>0</v>
      </c>
    </row>
    <row r="26" spans="1:9">
      <c r="A26" s="15">
        <v>20</v>
      </c>
      <c r="B26" s="15">
        <v>0.48</v>
      </c>
      <c r="C26" s="15">
        <v>23.24</v>
      </c>
      <c r="D26" s="15">
        <v>14.839999</v>
      </c>
      <c r="E26" s="16">
        <v>0.123125</v>
      </c>
      <c r="F26" s="16">
        <v>0.24625</v>
      </c>
      <c r="G26" s="16">
        <v>0.00781857019881307</v>
      </c>
      <c r="H26" s="15" t="s">
        <v>9</v>
      </c>
      <c r="I26" s="15">
        <v>155</v>
      </c>
    </row>
    <row r="27" spans="1:9">
      <c r="A27" s="15">
        <v>27</v>
      </c>
      <c r="B27" s="15">
        <v>0.32</v>
      </c>
      <c r="C27" s="15">
        <v>22.519999</v>
      </c>
      <c r="D27" s="15">
        <v>15.559999</v>
      </c>
      <c r="E27" s="16">
        <v>0.1284375</v>
      </c>
      <c r="F27" s="16">
        <v>0.256875</v>
      </c>
      <c r="G27" s="16">
        <v>0.00887491372696224</v>
      </c>
      <c r="H27" s="15" t="s">
        <v>9</v>
      </c>
      <c r="I27" s="15">
        <v>155</v>
      </c>
    </row>
    <row r="28" spans="1:9">
      <c r="A28" s="18">
        <v>23</v>
      </c>
      <c r="B28" s="18">
        <v>0.16</v>
      </c>
      <c r="C28" s="18">
        <v>20.359999</v>
      </c>
      <c r="D28" s="18">
        <v>14.32</v>
      </c>
      <c r="E28" s="19">
        <v>0.1225</v>
      </c>
      <c r="F28" s="19">
        <v>0.245</v>
      </c>
      <c r="G28" s="19">
        <v>0.00770010904379553</v>
      </c>
      <c r="H28" s="18" t="s">
        <v>9</v>
      </c>
      <c r="I28" s="18">
        <v>148</v>
      </c>
    </row>
    <row r="29" spans="1:9">
      <c r="A29" s="20">
        <v>25</v>
      </c>
      <c r="B29" s="20">
        <v>0.64</v>
      </c>
      <c r="C29" s="20">
        <v>20.84</v>
      </c>
      <c r="D29" s="20">
        <v>16.32</v>
      </c>
      <c r="E29" s="21">
        <v>0.1278125</v>
      </c>
      <c r="F29" s="22">
        <v>0.255625</v>
      </c>
      <c r="G29" s="21">
        <v>0.00874598238607698</v>
      </c>
      <c r="H29" s="23" t="s">
        <v>9</v>
      </c>
      <c r="I29" s="33" t="s">
        <v>10</v>
      </c>
    </row>
    <row r="30" spans="5:6">
      <c r="E30" s="24"/>
      <c r="F30" s="25"/>
    </row>
    <row r="31" spans="5:6">
      <c r="E31" s="26"/>
      <c r="F31" s="27" t="s">
        <v>11</v>
      </c>
    </row>
    <row r="32" spans="5:6">
      <c r="E32" s="27" t="s">
        <v>12</v>
      </c>
      <c r="F32" s="26">
        <f>AVERAGE(F2,F3,F4,F5,F6,F7,F8,F9,F10,F11,F12,F13,F14,F15,F16,F17,F18,F19,F20,F21,F22,F23,F24,F26,F27,F28)</f>
        <v>0.27667979921859</v>
      </c>
    </row>
    <row r="33" spans="5:6">
      <c r="E33" s="27" t="s">
        <v>13</v>
      </c>
      <c r="F33" s="26">
        <f>STDEV(F2,F3,F4,F5,F6,F7,F8,F9,F10,F11,F12,F13,F14,F15,F16,F17,F18,F19,F20,F21,F22,F23,F24,F26,F27,F28)</f>
        <v>0.0305121272102921</v>
      </c>
    </row>
    <row r="34" spans="5:6">
      <c r="E34" s="27" t="s">
        <v>14</v>
      </c>
      <c r="F34" s="26">
        <f>F32+F33</f>
        <v>0.307191926428882</v>
      </c>
    </row>
  </sheetData>
  <autoFilter xmlns:etc="http://www.wps.cn/officeDocument/2017/etCustomData" ref="A1:I29" etc:filterBottomFollowUsedRange="0">
    <filterColumn colId="8">
      <filters>
        <filter val="00"/>
        <filter val="151"/>
        <filter val="155"/>
        <filter val="78"/>
        <filter val="148"/>
      </filters>
    </filterColumn>
    <sortState ref="A2:I29">
      <sortCondition ref="I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lysosomes_with_cell_vs_outside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nahue</cp:lastModifiedBy>
  <dcterms:created xsi:type="dcterms:W3CDTF">2025-11-27T11:48:52Z</dcterms:created>
  <dcterms:modified xsi:type="dcterms:W3CDTF">2025-11-27T12:13:18Z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F911A6F332324C969A000A271E9B5370_13</vt:lpwstr>
  </property>
  <property fmtid="{D5CDD505-2E9C-101B-9397-08002B2CF9AE}" pid="3" name="KSOProductBuildVer">
    <vt:lpwstr>2057-12.2.0.23155</vt:lpwstr>
  </property>
</Properties>
</file>