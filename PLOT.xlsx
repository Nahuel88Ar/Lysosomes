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<sst xmlns="http://schemas.openxmlformats.org/spreadsheetml/2006/main" count="16" uniqueCount="13">
  <si>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AVERAGE</t>
  </si>
  <si>
    <t>STD</t>
  </si>
  <si>
    <t>AVERAGE + STD</t>
  </si>
  <si>
    <t>L3 1</t>
  </si>
  <si>
    <t>OH 1</t>
  </si>
  <si>
    <t>OH 2</t>
  </si>
  <si>
    <t>4H 1</t>
  </si>
  <si>
    <t>4H 2</t>
  </si>
  <si>
    <t>6H 2</t>
  </si>
  <si>
    <t>6H 3</t>
  </si>
  <si>
    <t>12H 4</t>
  </si>
  <si>
    <t>12H 3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</si>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</sst>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 b="1"/>
              <a:t>DIAMETER UM</a:t>
            </a:r>
            <a:endParaRPr lang="en-US" altLang="en-GB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Sheet1!$D$4:$D$11</c:f>
                <c:numCache>
                  <c:formatCode>General</c:formatCode>
                  <c:ptCount val="8"/>
                  <c:pt idx="0">
                    <c:v>0.030512127</c:v>
                  </c:pt>
                  <c:pt idx="1">
                    <c:v>0.0883897798257363</c:v>
                  </c:pt>
                  <c:pt idx="2">
                    <c:v>0.0935567495168812</c:v>
                  </c:pt>
                  <c:pt idx="3">
                    <c:v>0.0581189341095756</c:v>
                  </c:pt>
                  <c:pt idx="4">
                    <c:v>0.0894988780740091</c:v>
                  </c:pt>
                  <c:pt idx="5">
                    <c:v>0.0585773556481913</c:v>
                  </c:pt>
                  <c:pt idx="6">
                    <c:v>0.079853656</c:v>
                  </c:pt>
                  <c:pt idx="7">
                    <c:v>0.095538252</c:v>
                  </c:pt>
                </c:numCache>
              </c:numRef>
            </c:plus>
            <c:minus>
              <c:numRef>
                <c:f>Sheet1!$D$4:$D$11</c:f>
                <c:numCache>
                  <c:formatCode>General</c:formatCode>
                  <c:ptCount val="8"/>
                  <c:pt idx="0">
                    <c:v>0.030512127</c:v>
                  </c:pt>
                  <c:pt idx="1">
                    <c:v>0.0883897798257363</c:v>
                  </c:pt>
                  <c:pt idx="2">
                    <c:v>0.0935567495168812</c:v>
                  </c:pt>
                  <c:pt idx="3">
                    <c:v>0.0581189341095756</c:v>
                  </c:pt>
                  <c:pt idx="4">
                    <c:v>0.0894988780740091</c:v>
                  </c:pt>
                  <c:pt idx="5">
                    <c:v>0.0585773556481913</c:v>
                  </c:pt>
                  <c:pt idx="6">
                    <c:v>0.079853656</c:v>
                  </c:pt>
                  <c:pt idx="7">
                    <c:v>0.095538252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Sheet1!$B$4:$B$11</c:f>
              <c:strCache>
                <c:ptCount val="8"/>
                <c:pt idx="0">
                  <c:v>L3 1</c:v>
                </c:pt>
                <c:pt idx="1">
                  <c:v>OH 1</c:v>
                </c:pt>
                <c:pt idx="2">
                  <c:v>OH 2</c:v>
                </c:pt>
                <c:pt idx="3">
                  <c:v>4H 1</c:v>
                </c:pt>
                <c:pt idx="4">
                  <c:v>4H 2</c:v>
                </c:pt>
                <c:pt idx="5">
                  <c:v>6H 2</c:v>
                </c:pt>
                <c:pt idx="6">
                  <c:v>6H 3</c:v>
                </c:pt>
                <c:pt idx="7">
                  <c:v>12H 4</c:v>
                </c:pt>
              </c:strCache>
            </c:strRef>
          </c:cat>
          <c:val>
            <c:numRef>
              <c:f>Sheet1!$C$4:$C$11</c:f>
              <c:numCache>
                <c:formatCode>General</c:formatCode>
                <c:ptCount val="8"/>
                <c:pt idx="0">
                  <c:v>0.276679799</c:v>
                </c:pt>
                <c:pt idx="1">
                  <c:v>0.569957016173162</c:v>
                </c:pt>
                <c:pt idx="2">
                  <c:v>0.590011530575844</c:v>
                </c:pt>
                <c:pt idx="3">
                  <c:v>0.586521727883297</c:v>
                </c:pt>
                <c:pt idx="4">
                  <c:v>0.586883785113692</c:v>
                </c:pt>
                <c:pt idx="5">
                  <c:v>0.376773799413016</c:v>
                </c:pt>
                <c:pt idx="6">
                  <c:v>0.485182959</c:v>
                </c:pt>
                <c:pt idx="7">
                  <c:v>0.53659999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67965975"/>
        <c:axId val="151865785"/>
      </c:lineChart>
      <c:catAx>
        <c:axId val="66796597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TIME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865785"/>
        <c:crosses val="autoZero"/>
        <c:auto val="1"/>
        <c:lblAlgn val="ctr"/>
        <c:lblOffset val="100"/>
        <c:noMultiLvlLbl val="0"/>
      </c:catAx>
      <c:valAx>
        <c:axId val="1518657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DIAMETER UM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7965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ad3c43-7ea7-4249-bf1e-b54c86a3c6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 b="1"/>
              <a:t>DIAMETER UM</a:t>
            </a:r>
            <a:endParaRPr lang="en-US" altLang="en-GB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Sheet1!$D$16:$D$20</c:f>
                <c:numCache>
                  <c:formatCode>General</c:formatCode>
                  <c:ptCount val="5"/>
                  <c:pt idx="0">
                    <c:v>0.030512127</c:v>
                  </c:pt>
                  <c:pt idx="1">
                    <c:v>0.0909732646713088</c:v>
                  </c:pt>
                  <c:pt idx="2">
                    <c:v>0.0738089060917923</c:v>
                  </c:pt>
                  <c:pt idx="3">
                    <c:v>0.0692155058240956</c:v>
                  </c:pt>
                  <c:pt idx="4">
                    <c:v>0.095538252</c:v>
                  </c:pt>
                </c:numCache>
              </c:numRef>
            </c:plus>
            <c:minus>
              <c:numRef>
                <c:f>Sheet1!$D$16:$D$20</c:f>
                <c:numCache>
                  <c:formatCode>General</c:formatCode>
                  <c:ptCount val="5"/>
                  <c:pt idx="0">
                    <c:v>0.030512127</c:v>
                  </c:pt>
                  <c:pt idx="1">
                    <c:v>0.0909732646713088</c:v>
                  </c:pt>
                  <c:pt idx="2">
                    <c:v>0.0738089060917923</c:v>
                  </c:pt>
                  <c:pt idx="3">
                    <c:v>0.0692155058240956</c:v>
                  </c:pt>
                  <c:pt idx="4">
                    <c:v>0.095538252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Sheet1!$B$16:$B$20</c:f>
              <c:strCache>
                <c:ptCount val="5"/>
                <c:pt idx="0">
                  <c:v>L</c:v>
                </c:pt>
                <c:pt idx="1">
                  <c:v>0</c:v>
                </c:pt>
                <c:pt idx="2">
                  <c:v>4</c:v>
                </c:pt>
                <c:pt idx="3">
                  <c:v>6</c:v>
                </c:pt>
                <c:pt idx="4">
                  <c:v>12</c:v>
                </c:pt>
              </c:strCache>
            </c:strRef>
          </c:cat>
          <c:val>
            <c:numRef>
              <c:f>Sheet1!$C$16:$C$20</c:f>
              <c:numCache>
                <c:formatCode>General</c:formatCode>
                <c:ptCount val="5"/>
                <c:pt idx="0">
                  <c:v>0.276679799</c:v>
                </c:pt>
                <c:pt idx="1">
                  <c:v>0.579984273374503</c:v>
                </c:pt>
                <c:pt idx="2">
                  <c:v>0.586702756498495</c:v>
                </c:pt>
                <c:pt idx="3">
                  <c:v>0.430978379206508</c:v>
                </c:pt>
                <c:pt idx="4">
                  <c:v>0.53659999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5645186"/>
        <c:axId val="710786998"/>
      </c:lineChart>
      <c:catAx>
        <c:axId val="6256451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TIME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0786998"/>
        <c:crosses val="autoZero"/>
        <c:auto val="1"/>
        <c:lblAlgn val="ctr"/>
        <c:lblOffset val="100"/>
        <c:noMultiLvlLbl val="0"/>
      </c:catAx>
      <c:valAx>
        <c:axId val="7107869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DIAMETER UM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645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3fad4a-45ad-4355-9579-9beb9805a1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b="1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124460</xdr:colOff>
      <xdr:row>2</xdr:row>
      <xdr:rowOff>107950</xdr:rowOff>
    </xdr:from>
    <xdr:to>
      <xdr:col>14</xdr:col>
      <xdr:colOff>73660</xdr:colOff>
      <xdr:row>21</xdr:row>
      <xdr:rowOff>107315</xdr:rowOff>
    </xdr:to>
    <xdr:graphicFrame>
      <xdr:nvGraphicFramePr>
        <xdr:cNvPr id="4" name="Chart 3"/>
        <xdr:cNvGraphicFramePr/>
      </xdr:nvGraphicFramePr>
      <xdr:xfrm>
        <a:off x="4742180" y="473710"/>
        <a:ext cx="4826000" cy="3474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665480</xdr:colOff>
      <xdr:row>23</xdr:row>
      <xdr:rowOff>177800</xdr:rowOff>
    </xdr:from>
    <xdr:to>
      <xdr:col>10</xdr:col>
      <xdr:colOff>538480</xdr:colOff>
      <xdr:row>38</xdr:row>
      <xdr:rowOff>177800</xdr:rowOff>
    </xdr:to>
    <xdr:graphicFrame>
      <xdr:nvGraphicFramePr>
        <xdr:cNvPr id="3" name="Chart 2"/>
        <xdr:cNvGraphicFramePr/>
      </xdr:nvGraphicFramePr>
      <xdr:xfrm>
        <a:off x="2768600" y="43840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20"/>
  <sheetViews>
    <sheetView tabSelected="1" topLeftCell="A12" workbookViewId="0">
      <selection activeCell="S30" sqref="S30"/>
    </sheetView>
  </sheetViews>
  <sheetFormatPr defaultColWidth="8.88888888888889" defaultRowHeight="14.4" outlineLevelCol="4"/>
  <cols>
    <col min="3" max="4" width="12.8888888888889"/>
    <col min="5" max="5" width="14.8888888888889" customWidth="1"/>
  </cols>
  <sheetData>
    <row r="3" spans="2:5">
      <c r="B3" s="1"/>
      <c r="C3" s="1" t="s">
        <v>0</v>
      </c>
      <c r="D3" s="1" t="s">
        <v>1</v>
      </c>
      <c r="E3" s="1" t="s">
        <v>2</v>
      </c>
    </row>
    <row r="4" spans="2:5">
      <c r="B4" s="2" t="s">
        <v>3</v>
      </c>
      <c r="C4" s="2">
        <v>0.276679799</v>
      </c>
      <c r="D4" s="2">
        <v>0.030512127</v>
      </c>
      <c r="E4" s="2">
        <f>C4+D4</f>
        <v>0.307191926</v>
      </c>
    </row>
    <row r="5" spans="2:5">
      <c r="B5" s="2" t="s">
        <v>4</v>
      </c>
      <c r="C5" s="2">
        <v>0.569957016173162</v>
      </c>
      <c r="D5" s="2">
        <v>0.0883897798257363</v>
      </c>
      <c r="E5" s="2">
        <f>C5+D5</f>
        <v>0.658346795998898</v>
      </c>
    </row>
    <row r="6" spans="2:5">
      <c r="B6" s="2" t="s">
        <v>5</v>
      </c>
      <c r="C6" s="2">
        <v>0.590011530575844</v>
      </c>
      <c r="D6" s="2">
        <v>0.0935567495168812</v>
      </c>
      <c r="E6" s="2">
        <f>C6+D6</f>
        <v>0.683568280092725</v>
      </c>
    </row>
    <row r="7" spans="2:5">
      <c r="B7" s="2" t="s">
        <v>6</v>
      </c>
      <c r="C7" s="2">
        <v>0.586521727883297</v>
      </c>
      <c r="D7" s="2">
        <v>0.0581189341095756</v>
      </c>
      <c r="E7" s="2">
        <f>C7+D7</f>
        <v>0.644640661992873</v>
      </c>
    </row>
    <row r="8" spans="2:5">
      <c r="B8" s="2" t="s">
        <v>7</v>
      </c>
      <c r="C8" s="2">
        <v>0.586883785113692</v>
      </c>
      <c r="D8" s="2">
        <v>0.0894988780740091</v>
      </c>
      <c r="E8" s="2">
        <f>C8+D8</f>
        <v>0.676382663187701</v>
      </c>
    </row>
    <row r="9" spans="2:5">
      <c r="B9" s="2" t="s">
        <v>8</v>
      </c>
      <c r="C9" s="2">
        <v>0.376773799413016</v>
      </c>
      <c r="D9" s="2">
        <v>0.0585773556481913</v>
      </c>
      <c r="E9" s="2">
        <f>C9+D9</f>
        <v>0.435351155061207</v>
      </c>
    </row>
    <row r="10" spans="2:5">
      <c r="B10" s="2" t="s">
        <v>9</v>
      </c>
      <c r="C10" s="2">
        <v>0.485182959</v>
      </c>
      <c r="D10" s="2">
        <v>0.079853656</v>
      </c>
      <c r="E10" s="2">
        <f>C10+D10</f>
        <v>0.565036615</v>
      </c>
    </row>
    <row r="11" spans="2:5">
      <c r="B11" s="2" t="s">
        <v>10</v>
      </c>
      <c r="C11" s="2">
        <v>0.53659999</v>
      </c>
      <c r="D11" s="2">
        <v>0.095538252</v>
      </c>
      <c r="E11" s="2">
        <f t="shared" ref="E11:E22" si="0">C11+D11</f>
        <v>0.632138242</v>
      </c>
    </row>
    <row r="12" spans="2:5">
      <c r="B12" s="3" t="s">
        <v>11</v>
      </c>
      <c r="C12" s="3">
        <v>0.410324986</v>
      </c>
      <c r="D12" s="3">
        <v>0.034363017</v>
      </c>
      <c r="E12" s="3">
        <f t="shared" si="0"/>
        <v>0.444688003</v>
      </c>
    </row>
    <row r="15" spans="2:5">
      <c r="B15" s="1"/>
      <c r="C15" s="1" t="s">
        <v>0</v>
      </c>
      <c r="D15" s="1" t="s">
        <v>1</v>
      </c>
      <c r="E15" s="1" t="s">
        <v>2</v>
      </c>
    </row>
    <row r="16" spans="2:5">
      <c r="B16" s="1" t="s">
        <v>12</v>
      </c>
      <c r="C16" s="1">
        <v>0.276679799</v>
      </c>
      <c r="D16" s="1">
        <v>0.030512127</v>
      </c>
      <c r="E16" s="1">
        <f t="shared" si="0"/>
        <v>0.307191926</v>
      </c>
    </row>
    <row r="17" spans="2:5">
      <c r="B17" s="1">
        <v>0</v>
      </c>
      <c r="C17" s="1">
        <f>(C5+C6)/2</f>
        <v>0.579984273374503</v>
      </c>
      <c r="D17" s="1">
        <f>(D5+D6)/2</f>
        <v>0.0909732646713088</v>
      </c>
      <c r="E17" s="1">
        <f t="shared" si="0"/>
        <v>0.670957538045812</v>
      </c>
    </row>
    <row r="18" spans="2:5">
      <c r="B18" s="1">
        <v>4</v>
      </c>
      <c r="C18" s="1">
        <f>(C7+C8)/2</f>
        <v>0.586702756498495</v>
      </c>
      <c r="D18" s="1">
        <f>(D7+D8)/2</f>
        <v>0.0738089060917923</v>
      </c>
      <c r="E18" s="1">
        <f t="shared" si="0"/>
        <v>0.660511662590287</v>
      </c>
    </row>
    <row r="19" spans="2:5">
      <c r="B19" s="1">
        <v>6</v>
      </c>
      <c r="C19" s="1">
        <f>(C9+C10)/2</f>
        <v>0.430978379206508</v>
      </c>
      <c r="D19" s="1">
        <f>(D9+D10)/2</f>
        <v>0.0692155058240956</v>
      </c>
      <c r="E19" s="1">
        <f t="shared" si="0"/>
        <v>0.500193885030604</v>
      </c>
    </row>
    <row r="20" spans="2:5">
      <c r="B20" s="1">
        <v>12</v>
      </c>
      <c r="C20" s="1">
        <v>0.53659999</v>
      </c>
      <c r="D20" s="1">
        <v>0.095538252</v>
      </c>
      <c r="E20" s="1">
        <f t="shared" si="0"/>
        <v>0.632138242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</dc:creator>
  <cp:lastModifiedBy>nahue</cp:lastModifiedBy>
  <dcterms:created xsi:type="dcterms:W3CDTF">2025-11-30T12:16:00Z</dcterms:created>
  <dcterms:modified xsi:type="dcterms:W3CDTF">2025-12-03T16:03:54Z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0C3712DACF4F4986B9B6D06AE97191A7_11</vt:lpwstr>
  </property>
  <property fmtid="{D5CDD505-2E9C-101B-9397-08002B2CF9AE}" pid="3" name="KSOProductBuildVer">
    <vt:lpwstr>2057-12.2.0.23155</vt:lpwstr>
  </property>
</Properties>
</file>